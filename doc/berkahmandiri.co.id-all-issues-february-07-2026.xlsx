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kahmandiri.co.id-all-issues-" sheetId="1" r:id="rId5"/>
  </sheets>
  <definedNames>
    <definedName hidden="1" localSheetId="0" name="_xlnm._FilterDatabase">'berkahmandiri.co.id-all-issues-'!$A$1:$F$40</definedName>
  </definedNames>
  <calcPr/>
</workbook>
</file>

<file path=xl/sharedStrings.xml><?xml version="1.0" encoding="utf-8"?>
<sst xmlns="http://schemas.openxmlformats.org/spreadsheetml/2006/main" count="158" uniqueCount="64">
  <si>
    <t>Issue name</t>
  </si>
  <si>
    <t>Issue type</t>
  </si>
  <si>
    <t>Issue category</t>
  </si>
  <si>
    <t>Affected pages</t>
  </si>
  <si>
    <t>Delta from prior crawl</t>
  </si>
  <si>
    <t>Link to the issue</t>
  </si>
  <si>
    <t>Page has 0 impressions</t>
  </si>
  <si>
    <t>Critical</t>
  </si>
  <si>
    <t>Search traffic</t>
  </si>
  <si>
    <t>+1</t>
  </si>
  <si>
    <t>Page has identical headings</t>
  </si>
  <si>
    <t>Duplicate content</t>
  </si>
  <si>
    <t/>
  </si>
  <si>
    <t>4xx client errors</t>
  </si>
  <si>
    <t>Internal</t>
  </si>
  <si>
    <t>Defer offscreen images</t>
  </si>
  <si>
    <t>Warning</t>
  </si>
  <si>
    <t>Page speed</t>
  </si>
  <si>
    <t>+2</t>
  </si>
  <si>
    <t>Description duplicates</t>
  </si>
  <si>
    <t>Content relevance</t>
  </si>
  <si>
    <t>H2 is missing</t>
  </si>
  <si>
    <t>Headings hierarchy is broken</t>
  </si>
  <si>
    <t>Code validation</t>
  </si>
  <si>
    <t>Page contains different structured data formats</t>
  </si>
  <si>
    <t>Add dimensions to images</t>
  </si>
  <si>
    <t>Page has &lt;table&gt; but has no &lt;caption&gt; attribute</t>
  </si>
  <si>
    <t>301 redirects</t>
  </si>
  <si>
    <t>Redirects</t>
  </si>
  <si>
    <t>Has a link with an empty href attribute</t>
  </si>
  <si>
    <t>Links</t>
  </si>
  <si>
    <t>Page has an anchored image with no alt text</t>
  </si>
  <si>
    <t>Page has internal links to 4xx pages</t>
  </si>
  <si>
    <t>Has only one followed internal linking URL</t>
  </si>
  <si>
    <t>URL contains repetitive elements</t>
  </si>
  <si>
    <t>Query string contains a question mark</t>
  </si>
  <si>
    <t>Page has tags with style attributes</t>
  </si>
  <si>
    <t>Notice</t>
  </si>
  <si>
    <t>Page has link with a URL in onclick attribute</t>
  </si>
  <si>
    <t>Text to code ratio &lt; 10%</t>
  </si>
  <si>
    <t>Page has more than 2 links to internal page with the same anchor</t>
  </si>
  <si>
    <t>Page has HTTP link to www.w3.org</t>
  </si>
  <si>
    <t>Security</t>
  </si>
  <si>
    <t>Canonical ≠ URL</t>
  </si>
  <si>
    <t>Indexability</t>
  </si>
  <si>
    <t>Page contains a form with a GET method</t>
  </si>
  <si>
    <t>Description too long</t>
  </si>
  <si>
    <t>+3</t>
  </si>
  <si>
    <t>302 redirects</t>
  </si>
  <si>
    <t>Title too long</t>
  </si>
  <si>
    <t>Page has content-type other than text/html</t>
  </si>
  <si>
    <t>Long URLs</t>
  </si>
  <si>
    <t>H1 too long</t>
  </si>
  <si>
    <t>Description too short</t>
  </si>
  <si>
    <t>Page has identical alt tags</t>
  </si>
  <si>
    <t>Opportunity</t>
  </si>
  <si>
    <t>Page has outbound internal links with one word anchor</t>
  </si>
  <si>
    <t>Page has no strong importance elements</t>
  </si>
  <si>
    <t>Page has less than 10 internal backlinks</t>
  </si>
  <si>
    <t>+4</t>
  </si>
  <si>
    <t>H2 has other tags inside</t>
  </si>
  <si>
    <t>H1 has other tags inside</t>
  </si>
  <si>
    <t>Page has alt tags with one word</t>
  </si>
  <si>
    <t>H1 = 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</si>
</sst>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EC0BF"/>
        <bgColor rgb="FFBEC0B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quotePrefix="1" borderId="0" fillId="0" fontId="2" numFmtId="0" xfId="0" applyAlignment="1" applyFont="1">
      <alignment horizontal="right"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63"/>
    <col customWidth="1" min="2" max="2" width="13.63"/>
    <col customWidth="1" min="3" max="3" width="19.63"/>
    <col customWidth="1" min="4" max="4" width="16.63"/>
    <col customWidth="1" min="5" max="5" width="24.63"/>
    <col customWidth="1" min="6" max="6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38.0</v>
      </c>
      <c r="E2" s="4" t="s">
        <v>9</v>
      </c>
      <c r="F2" s="5" t="str">
        <f>HYPERLINK("https://sitechecker.pro/app/main/project/4562209/audit/issues?filters=143", "https://sitechecker.pro/app/main/project/4562209/audit/issues?filters=143")</f>
        <v>https://sitechecker.pro/app/main/project/4562209/audit/issues?filters=143</v>
      </c>
    </row>
    <row r="3">
      <c r="A3" s="2" t="s">
        <v>10</v>
      </c>
      <c r="B3" s="2" t="s">
        <v>7</v>
      </c>
      <c r="C3" s="2" t="s">
        <v>11</v>
      </c>
      <c r="D3" s="3">
        <v>7.0</v>
      </c>
      <c r="E3" s="3" t="s">
        <v>12</v>
      </c>
      <c r="F3" s="5" t="str">
        <f>HYPERLINK("https://sitechecker.pro/app/main/project/4562209/audit/issues?filters=272", "https://sitechecker.pro/app/main/project/4562209/audit/issues?filters=272")</f>
        <v>https://sitechecker.pro/app/main/project/4562209/audit/issues?filters=272</v>
      </c>
    </row>
    <row r="4">
      <c r="A4" s="2" t="s">
        <v>13</v>
      </c>
      <c r="B4" s="2" t="s">
        <v>7</v>
      </c>
      <c r="C4" s="2" t="s">
        <v>14</v>
      </c>
      <c r="D4" s="3">
        <v>1.0</v>
      </c>
      <c r="E4" s="3" t="s">
        <v>12</v>
      </c>
      <c r="F4" s="5" t="str">
        <f>HYPERLINK("https://sitechecker.pro/app/main/project/4562209/audit/issues?filters=25", "https://sitechecker.pro/app/main/project/4562209/audit/issues?filters=25")</f>
        <v>https://sitechecker.pro/app/main/project/4562209/audit/issues?filters=25</v>
      </c>
    </row>
    <row r="5">
      <c r="A5" s="2" t="s">
        <v>15</v>
      </c>
      <c r="B5" s="2" t="s">
        <v>16</v>
      </c>
      <c r="C5" s="2" t="s">
        <v>17</v>
      </c>
      <c r="D5" s="3">
        <v>42.0</v>
      </c>
      <c r="E5" s="4" t="s">
        <v>18</v>
      </c>
      <c r="F5" s="5" t="str">
        <f>HYPERLINK("https://sitechecker.pro/app/main/project/4562209/audit/issues?filters=295", "https://sitechecker.pro/app/main/project/4562209/audit/issues?filters=295")</f>
        <v>https://sitechecker.pro/app/main/project/4562209/audit/issues?filters=295</v>
      </c>
    </row>
    <row r="6">
      <c r="A6" s="2" t="s">
        <v>19</v>
      </c>
      <c r="B6" s="2" t="s">
        <v>16</v>
      </c>
      <c r="C6" s="2" t="s">
        <v>20</v>
      </c>
      <c r="D6" s="3">
        <v>21.0</v>
      </c>
      <c r="E6" s="3">
        <v>-12.0</v>
      </c>
      <c r="F6" s="5" t="str">
        <f>HYPERLINK("https://sitechecker.pro/app/main/project/4562209/audit/issues?filters=32", "https://sitechecker.pro/app/main/project/4562209/audit/issues?filters=32")</f>
        <v>https://sitechecker.pro/app/main/project/4562209/audit/issues?filters=32</v>
      </c>
    </row>
    <row r="7">
      <c r="A7" s="2" t="s">
        <v>21</v>
      </c>
      <c r="B7" s="2" t="s">
        <v>16</v>
      </c>
      <c r="C7" s="2" t="s">
        <v>20</v>
      </c>
      <c r="D7" s="3">
        <v>11.0</v>
      </c>
      <c r="E7" s="3">
        <v>-4.0</v>
      </c>
      <c r="F7" s="5" t="str">
        <f>HYPERLINK("https://sitechecker.pro/app/main/project/4562209/audit/issues?filters=257", "https://sitechecker.pro/app/main/project/4562209/audit/issues?filters=257")</f>
        <v>https://sitechecker.pro/app/main/project/4562209/audit/issues?filters=257</v>
      </c>
    </row>
    <row r="8">
      <c r="A8" s="2" t="s">
        <v>22</v>
      </c>
      <c r="B8" s="2" t="s">
        <v>16</v>
      </c>
      <c r="C8" s="2" t="s">
        <v>23</v>
      </c>
      <c r="D8" s="3">
        <v>11.0</v>
      </c>
      <c r="E8" s="3">
        <v>-4.0</v>
      </c>
      <c r="F8" s="5" t="str">
        <f>HYPERLINK("https://sitechecker.pro/app/main/project/4562209/audit/issues?filters=198", "https://sitechecker.pro/app/main/project/4562209/audit/issues?filters=198")</f>
        <v>https://sitechecker.pro/app/main/project/4562209/audit/issues?filters=198</v>
      </c>
    </row>
    <row r="9">
      <c r="A9" s="2" t="s">
        <v>24</v>
      </c>
      <c r="B9" s="2" t="s">
        <v>16</v>
      </c>
      <c r="C9" s="2" t="s">
        <v>23</v>
      </c>
      <c r="D9" s="3">
        <v>9.0</v>
      </c>
      <c r="E9" s="4" t="s">
        <v>18</v>
      </c>
      <c r="F9" s="5" t="str">
        <f>HYPERLINK("https://sitechecker.pro/app/main/project/4562209/audit/issues?filters=199", "https://sitechecker.pro/app/main/project/4562209/audit/issues?filters=199")</f>
        <v>https://sitechecker.pro/app/main/project/4562209/audit/issues?filters=199</v>
      </c>
    </row>
    <row r="10">
      <c r="A10" s="2" t="s">
        <v>25</v>
      </c>
      <c r="B10" s="2" t="s">
        <v>16</v>
      </c>
      <c r="C10" s="2" t="s">
        <v>17</v>
      </c>
      <c r="D10" s="3">
        <v>7.0</v>
      </c>
      <c r="E10" s="3">
        <v>-5.0</v>
      </c>
      <c r="F10" s="5" t="str">
        <f>HYPERLINK("https://sitechecker.pro/app/main/project/4562209/audit/issues?filters=293", "https://sitechecker.pro/app/main/project/4562209/audit/issues?filters=293")</f>
        <v>https://sitechecker.pro/app/main/project/4562209/audit/issues?filters=293</v>
      </c>
    </row>
    <row r="11">
      <c r="A11" s="2" t="s">
        <v>26</v>
      </c>
      <c r="B11" s="2" t="s">
        <v>16</v>
      </c>
      <c r="C11" s="2" t="s">
        <v>23</v>
      </c>
      <c r="D11" s="3">
        <v>6.0</v>
      </c>
      <c r="E11" s="3" t="s">
        <v>12</v>
      </c>
      <c r="F11" s="5" t="str">
        <f>HYPERLINK("https://sitechecker.pro/app/main/project/4562209/audit/issues?filters=259", "https://sitechecker.pro/app/main/project/4562209/audit/issues?filters=259")</f>
        <v>https://sitechecker.pro/app/main/project/4562209/audit/issues?filters=259</v>
      </c>
    </row>
    <row r="12">
      <c r="A12" s="2" t="s">
        <v>27</v>
      </c>
      <c r="B12" s="2" t="s">
        <v>16</v>
      </c>
      <c r="C12" s="2" t="s">
        <v>28</v>
      </c>
      <c r="D12" s="3">
        <v>6.0</v>
      </c>
      <c r="E12" s="4" t="s">
        <v>18</v>
      </c>
      <c r="F12" s="5" t="str">
        <f>HYPERLINK("https://sitechecker.pro/app/main/project/4562209/audit/issues?filters=6", "https://sitechecker.pro/app/main/project/4562209/audit/issues?filters=6")</f>
        <v>https://sitechecker.pro/app/main/project/4562209/audit/issues?filters=6</v>
      </c>
    </row>
    <row r="13">
      <c r="A13" s="2" t="s">
        <v>29</v>
      </c>
      <c r="B13" s="2" t="s">
        <v>16</v>
      </c>
      <c r="C13" s="2" t="s">
        <v>30</v>
      </c>
      <c r="D13" s="3">
        <v>3.0</v>
      </c>
      <c r="E13" s="3" t="s">
        <v>12</v>
      </c>
      <c r="F13" s="5" t="str">
        <f>HYPERLINK("https://sitechecker.pro/app/main/project/4562209/audit/issues?filters=191", "https://sitechecker.pro/app/main/project/4562209/audit/issues?filters=191")</f>
        <v>https://sitechecker.pro/app/main/project/4562209/audit/issues?filters=191</v>
      </c>
    </row>
    <row r="14">
      <c r="A14" s="2" t="s">
        <v>31</v>
      </c>
      <c r="B14" s="2" t="s">
        <v>16</v>
      </c>
      <c r="C14" s="2" t="s">
        <v>30</v>
      </c>
      <c r="D14" s="3">
        <v>3.0</v>
      </c>
      <c r="E14" s="3" t="s">
        <v>12</v>
      </c>
      <c r="F14" s="5" t="str">
        <f>HYPERLINK("https://sitechecker.pro/app/main/project/4562209/audit/issues?filters=182", "https://sitechecker.pro/app/main/project/4562209/audit/issues?filters=182")</f>
        <v>https://sitechecker.pro/app/main/project/4562209/audit/issues?filters=182</v>
      </c>
    </row>
    <row r="15">
      <c r="A15" s="2" t="s">
        <v>32</v>
      </c>
      <c r="B15" s="2" t="s">
        <v>16</v>
      </c>
      <c r="C15" s="2" t="s">
        <v>30</v>
      </c>
      <c r="D15" s="3">
        <v>2.0</v>
      </c>
      <c r="E15" s="3" t="s">
        <v>12</v>
      </c>
      <c r="F15" s="5" t="str">
        <f>HYPERLINK("https://sitechecker.pro/app/main/project/4562209/audit/issues?filters=196", "https://sitechecker.pro/app/main/project/4562209/audit/issues?filters=196")</f>
        <v>https://sitechecker.pro/app/main/project/4562209/audit/issues?filters=196</v>
      </c>
    </row>
    <row r="16">
      <c r="A16" s="2" t="s">
        <v>33</v>
      </c>
      <c r="B16" s="2" t="s">
        <v>16</v>
      </c>
      <c r="C16" s="2" t="s">
        <v>30</v>
      </c>
      <c r="D16" s="3">
        <v>2.0</v>
      </c>
      <c r="E16" s="3" t="s">
        <v>12</v>
      </c>
      <c r="F16" s="5" t="str">
        <f>HYPERLINK("https://sitechecker.pro/app/main/project/4562209/audit/issues?filters=193", "https://sitechecker.pro/app/main/project/4562209/audit/issues?filters=193")</f>
        <v>https://sitechecker.pro/app/main/project/4562209/audit/issues?filters=193</v>
      </c>
    </row>
    <row r="17">
      <c r="A17" s="2" t="s">
        <v>34</v>
      </c>
      <c r="B17" s="2" t="s">
        <v>16</v>
      </c>
      <c r="C17" s="2" t="s">
        <v>14</v>
      </c>
      <c r="D17" s="3">
        <v>2.0</v>
      </c>
      <c r="E17" s="3" t="s">
        <v>12</v>
      </c>
      <c r="F17" s="5" t="str">
        <f>HYPERLINK("https://sitechecker.pro/app/main/project/4562209/audit/issues?filters=279", "https://sitechecker.pro/app/main/project/4562209/audit/issues?filters=279")</f>
        <v>https://sitechecker.pro/app/main/project/4562209/audit/issues?filters=279</v>
      </c>
    </row>
    <row r="18">
      <c r="A18" s="2" t="s">
        <v>35</v>
      </c>
      <c r="B18" s="2" t="s">
        <v>16</v>
      </c>
      <c r="C18" s="2" t="s">
        <v>14</v>
      </c>
      <c r="D18" s="3">
        <v>2.0</v>
      </c>
      <c r="E18" s="3" t="s">
        <v>12</v>
      </c>
      <c r="F18" s="5" t="str">
        <f>HYPERLINK("https://sitechecker.pro/app/main/project/4562209/audit/issues?filters=281", "https://sitechecker.pro/app/main/project/4562209/audit/issues?filters=281")</f>
        <v>https://sitechecker.pro/app/main/project/4562209/audit/issues?filters=281</v>
      </c>
    </row>
    <row r="19">
      <c r="A19" s="2" t="s">
        <v>36</v>
      </c>
      <c r="B19" s="2" t="s">
        <v>37</v>
      </c>
      <c r="C19" s="2" t="s">
        <v>23</v>
      </c>
      <c r="D19" s="3">
        <v>42.0</v>
      </c>
      <c r="E19" s="4" t="s">
        <v>18</v>
      </c>
      <c r="F19" s="5" t="str">
        <f>HYPERLINK("https://sitechecker.pro/app/main/project/4562209/audit/issues?filters=197", "https://sitechecker.pro/app/main/project/4562209/audit/issues?filters=197")</f>
        <v>https://sitechecker.pro/app/main/project/4562209/audit/issues?filters=197</v>
      </c>
    </row>
    <row r="20">
      <c r="A20" s="2" t="s">
        <v>38</v>
      </c>
      <c r="B20" s="2" t="s">
        <v>37</v>
      </c>
      <c r="C20" s="2" t="s">
        <v>30</v>
      </c>
      <c r="D20" s="3">
        <v>42.0</v>
      </c>
      <c r="E20" s="4" t="s">
        <v>18</v>
      </c>
      <c r="F20" s="5" t="str">
        <f>HYPERLINK("https://sitechecker.pro/app/main/project/4562209/audit/issues?filters=190", "https://sitechecker.pro/app/main/project/4562209/audit/issues?filters=190")</f>
        <v>https://sitechecker.pro/app/main/project/4562209/audit/issues?filters=190</v>
      </c>
    </row>
    <row r="21">
      <c r="A21" s="2" t="s">
        <v>39</v>
      </c>
      <c r="B21" s="2" t="s">
        <v>37</v>
      </c>
      <c r="C21" s="2" t="s">
        <v>20</v>
      </c>
      <c r="D21" s="3">
        <v>42.0</v>
      </c>
      <c r="E21" s="4" t="s">
        <v>18</v>
      </c>
      <c r="F21" s="5" t="str">
        <f>HYPERLINK("https://sitechecker.pro/app/main/project/4562209/audit/issues?filters=30", "https://sitechecker.pro/app/main/project/4562209/audit/issues?filters=30")</f>
        <v>https://sitechecker.pro/app/main/project/4562209/audit/issues?filters=30</v>
      </c>
    </row>
    <row r="22">
      <c r="A22" s="2" t="s">
        <v>40</v>
      </c>
      <c r="B22" s="2" t="s">
        <v>37</v>
      </c>
      <c r="C22" s="2" t="s">
        <v>30</v>
      </c>
      <c r="D22" s="3">
        <v>42.0</v>
      </c>
      <c r="E22" s="4" t="s">
        <v>18</v>
      </c>
      <c r="F22" s="5" t="str">
        <f>HYPERLINK("https://sitechecker.pro/app/main/project/4562209/audit/issues?filters=185", "https://sitechecker.pro/app/main/project/4562209/audit/issues?filters=185")</f>
        <v>https://sitechecker.pro/app/main/project/4562209/audit/issues?filters=185</v>
      </c>
    </row>
    <row r="23">
      <c r="A23" s="2" t="s">
        <v>41</v>
      </c>
      <c r="B23" s="2" t="s">
        <v>37</v>
      </c>
      <c r="C23" s="2" t="s">
        <v>42</v>
      </c>
      <c r="D23" s="3">
        <v>42.0</v>
      </c>
      <c r="E23" s="4" t="s">
        <v>18</v>
      </c>
      <c r="F23" s="5" t="str">
        <f>HYPERLINK("https://sitechecker.pro/app/main/project/4562209/audit/issues?filters=292", "https://sitechecker.pro/app/main/project/4562209/audit/issues?filters=292")</f>
        <v>https://sitechecker.pro/app/main/project/4562209/audit/issues?filters=292</v>
      </c>
    </row>
    <row r="24">
      <c r="A24" s="2" t="s">
        <v>43</v>
      </c>
      <c r="B24" s="2" t="s">
        <v>37</v>
      </c>
      <c r="C24" s="2" t="s">
        <v>44</v>
      </c>
      <c r="D24" s="3">
        <v>15.0</v>
      </c>
      <c r="E24" s="4" t="s">
        <v>18</v>
      </c>
      <c r="F24" s="5" t="str">
        <f>HYPERLINK("https://sitechecker.pro/app/main/project/4562209/audit/issues?filters=9", "https://sitechecker.pro/app/main/project/4562209/audit/issues?filters=9")</f>
        <v>https://sitechecker.pro/app/main/project/4562209/audit/issues?filters=9</v>
      </c>
    </row>
    <row r="25">
      <c r="A25" s="2" t="s">
        <v>45</v>
      </c>
      <c r="B25" s="2" t="s">
        <v>37</v>
      </c>
      <c r="C25" s="2" t="s">
        <v>44</v>
      </c>
      <c r="D25" s="3">
        <v>9.0</v>
      </c>
      <c r="E25" s="3" t="s">
        <v>12</v>
      </c>
      <c r="F25" s="5" t="str">
        <f>HYPERLINK("https://sitechecker.pro/app/main/project/4562209/audit/issues?filters=329", "https://sitechecker.pro/app/main/project/4562209/audit/issues?filters=329")</f>
        <v>https://sitechecker.pro/app/main/project/4562209/audit/issues?filters=329</v>
      </c>
    </row>
    <row r="26">
      <c r="A26" s="2" t="s">
        <v>46</v>
      </c>
      <c r="B26" s="2" t="s">
        <v>37</v>
      </c>
      <c r="C26" s="2" t="s">
        <v>20</v>
      </c>
      <c r="D26" s="3">
        <v>7.0</v>
      </c>
      <c r="E26" s="4" t="s">
        <v>47</v>
      </c>
      <c r="F26" s="5" t="str">
        <f>HYPERLINK("https://sitechecker.pro/app/main/project/4562209/audit/issues?filters=50", "https://sitechecker.pro/app/main/project/4562209/audit/issues?filters=50")</f>
        <v>https://sitechecker.pro/app/main/project/4562209/audit/issues?filters=50</v>
      </c>
    </row>
    <row r="27">
      <c r="A27" s="2" t="s">
        <v>48</v>
      </c>
      <c r="B27" s="2" t="s">
        <v>37</v>
      </c>
      <c r="C27" s="2" t="s">
        <v>28</v>
      </c>
      <c r="D27" s="3">
        <v>4.0</v>
      </c>
      <c r="E27" s="3" t="s">
        <v>12</v>
      </c>
      <c r="F27" s="5" t="str">
        <f>HYPERLINK("https://sitechecker.pro/app/main/project/4562209/audit/issues?filters=64", "https://sitechecker.pro/app/main/project/4562209/audit/issues?filters=64")</f>
        <v>https://sitechecker.pro/app/main/project/4562209/audit/issues?filters=64</v>
      </c>
    </row>
    <row r="28">
      <c r="A28" s="2" t="s">
        <v>49</v>
      </c>
      <c r="B28" s="2" t="s">
        <v>37</v>
      </c>
      <c r="C28" s="2" t="s">
        <v>20</v>
      </c>
      <c r="D28" s="3">
        <v>4.0</v>
      </c>
      <c r="E28" s="3" t="s">
        <v>12</v>
      </c>
      <c r="F28" s="5" t="str">
        <f>HYPERLINK("https://sitechecker.pro/app/main/project/4562209/audit/issues?filters=44", "https://sitechecker.pro/app/main/project/4562209/audit/issues?filters=44")</f>
        <v>https://sitechecker.pro/app/main/project/4562209/audit/issues?filters=44</v>
      </c>
    </row>
    <row r="29">
      <c r="A29" s="2" t="s">
        <v>50</v>
      </c>
      <c r="B29" s="2" t="s">
        <v>37</v>
      </c>
      <c r="C29" s="2" t="s">
        <v>44</v>
      </c>
      <c r="D29" s="3">
        <v>2.0</v>
      </c>
      <c r="E29" s="3" t="s">
        <v>12</v>
      </c>
      <c r="F29" s="5" t="str">
        <f>HYPERLINK("https://sitechecker.pro/app/main/project/4562209/audit/issues?filters=331", "https://sitechecker.pro/app/main/project/4562209/audit/issues?filters=331")</f>
        <v>https://sitechecker.pro/app/main/project/4562209/audit/issues?filters=331</v>
      </c>
    </row>
    <row r="30">
      <c r="A30" s="2" t="s">
        <v>51</v>
      </c>
      <c r="B30" s="2" t="s">
        <v>37</v>
      </c>
      <c r="C30" s="2" t="s">
        <v>14</v>
      </c>
      <c r="D30" s="3">
        <v>2.0</v>
      </c>
      <c r="E30" s="3" t="s">
        <v>12</v>
      </c>
      <c r="F30" s="5" t="str">
        <f>HYPERLINK("https://sitechecker.pro/app/main/project/4562209/audit/issues?filters=35", "https://sitechecker.pro/app/main/project/4562209/audit/issues?filters=35")</f>
        <v>https://sitechecker.pro/app/main/project/4562209/audit/issues?filters=35</v>
      </c>
    </row>
    <row r="31">
      <c r="A31" s="2" t="s">
        <v>52</v>
      </c>
      <c r="B31" s="2" t="s">
        <v>37</v>
      </c>
      <c r="C31" s="2" t="s">
        <v>20</v>
      </c>
      <c r="D31" s="3">
        <v>2.0</v>
      </c>
      <c r="E31" s="3" t="s">
        <v>12</v>
      </c>
      <c r="F31" s="5" t="str">
        <f>HYPERLINK("https://sitechecker.pro/app/main/project/4562209/audit/issues?filters=47", "https://sitechecker.pro/app/main/project/4562209/audit/issues?filters=47")</f>
        <v>https://sitechecker.pro/app/main/project/4562209/audit/issues?filters=47</v>
      </c>
    </row>
    <row r="32">
      <c r="A32" s="2" t="s">
        <v>53</v>
      </c>
      <c r="B32" s="2" t="s">
        <v>37</v>
      </c>
      <c r="C32" s="2" t="s">
        <v>20</v>
      </c>
      <c r="D32" s="3">
        <v>2.0</v>
      </c>
      <c r="E32" s="3" t="s">
        <v>12</v>
      </c>
      <c r="F32" s="5" t="str">
        <f>HYPERLINK("https://sitechecker.pro/app/main/project/4562209/audit/issues?filters=51", "https://sitechecker.pro/app/main/project/4562209/audit/issues?filters=51")</f>
        <v>https://sitechecker.pro/app/main/project/4562209/audit/issues?filters=51</v>
      </c>
    </row>
    <row r="33">
      <c r="A33" s="2" t="s">
        <v>54</v>
      </c>
      <c r="B33" s="2" t="s">
        <v>55</v>
      </c>
      <c r="C33" s="2" t="s">
        <v>11</v>
      </c>
      <c r="D33" s="3">
        <v>42.0</v>
      </c>
      <c r="E33" s="4" t="s">
        <v>18</v>
      </c>
      <c r="F33" s="5" t="str">
        <f>HYPERLINK("https://sitechecker.pro/app/main/project/4562209/audit/issues?filters=271", "https://sitechecker.pro/app/main/project/4562209/audit/issues?filters=271")</f>
        <v>https://sitechecker.pro/app/main/project/4562209/audit/issues?filters=271</v>
      </c>
    </row>
    <row r="34">
      <c r="A34" s="2" t="s">
        <v>56</v>
      </c>
      <c r="B34" s="2" t="s">
        <v>55</v>
      </c>
      <c r="C34" s="2" t="s">
        <v>30</v>
      </c>
      <c r="D34" s="3">
        <v>42.0</v>
      </c>
      <c r="E34" s="4" t="s">
        <v>18</v>
      </c>
      <c r="F34" s="5" t="str">
        <f>HYPERLINK("https://sitechecker.pro/app/main/project/4562209/audit/issues?filters=313", "https://sitechecker.pro/app/main/project/4562209/audit/issues?filters=313")</f>
        <v>https://sitechecker.pro/app/main/project/4562209/audit/issues?filters=313</v>
      </c>
    </row>
    <row r="35">
      <c r="A35" s="2" t="s">
        <v>57</v>
      </c>
      <c r="B35" s="2" t="s">
        <v>55</v>
      </c>
      <c r="C35" s="2" t="s">
        <v>20</v>
      </c>
      <c r="D35" s="3">
        <v>34.0</v>
      </c>
      <c r="E35" s="4" t="s">
        <v>18</v>
      </c>
      <c r="F35" s="5" t="str">
        <f>HYPERLINK("https://sitechecker.pro/app/main/project/4562209/audit/issues?filters=316", "https://sitechecker.pro/app/main/project/4562209/audit/issues?filters=316")</f>
        <v>https://sitechecker.pro/app/main/project/4562209/audit/issues?filters=316</v>
      </c>
    </row>
    <row r="36">
      <c r="A36" s="2" t="s">
        <v>58</v>
      </c>
      <c r="B36" s="2" t="s">
        <v>55</v>
      </c>
      <c r="C36" s="2" t="s">
        <v>30</v>
      </c>
      <c r="D36" s="3">
        <v>13.0</v>
      </c>
      <c r="E36" s="4" t="s">
        <v>59</v>
      </c>
      <c r="F36" s="5" t="str">
        <f>HYPERLINK("https://sitechecker.pro/app/main/project/4562209/audit/issues?filters=194", "https://sitechecker.pro/app/main/project/4562209/audit/issues?filters=194")</f>
        <v>https://sitechecker.pro/app/main/project/4562209/audit/issues?filters=194</v>
      </c>
    </row>
    <row r="37">
      <c r="A37" s="2" t="s">
        <v>60</v>
      </c>
      <c r="B37" s="2" t="s">
        <v>55</v>
      </c>
      <c r="C37" s="2" t="s">
        <v>44</v>
      </c>
      <c r="D37" s="3">
        <v>11.0</v>
      </c>
      <c r="E37" s="3" t="s">
        <v>12</v>
      </c>
      <c r="F37" s="5" t="str">
        <f>HYPERLINK("https://sitechecker.pro/app/main/project/4562209/audit/issues?filters=253", "https://sitechecker.pro/app/main/project/4562209/audit/issues?filters=253")</f>
        <v>https://sitechecker.pro/app/main/project/4562209/audit/issues?filters=253</v>
      </c>
    </row>
    <row r="38">
      <c r="A38" s="2" t="s">
        <v>61</v>
      </c>
      <c r="B38" s="2" t="s">
        <v>55</v>
      </c>
      <c r="C38" s="2" t="s">
        <v>44</v>
      </c>
      <c r="D38" s="3">
        <v>10.0</v>
      </c>
      <c r="E38" s="3" t="s">
        <v>12</v>
      </c>
      <c r="F38" s="5" t="str">
        <f>HYPERLINK("https://sitechecker.pro/app/main/project/4562209/audit/issues?filters=252", "https://sitechecker.pro/app/main/project/4562209/audit/issues?filters=252")</f>
        <v>https://sitechecker.pro/app/main/project/4562209/audit/issues?filters=252</v>
      </c>
    </row>
    <row r="39">
      <c r="A39" s="2" t="s">
        <v>62</v>
      </c>
      <c r="B39" s="2" t="s">
        <v>55</v>
      </c>
      <c r="C39" s="2" t="s">
        <v>20</v>
      </c>
      <c r="D39" s="3">
        <v>6.0</v>
      </c>
      <c r="E39" s="3" t="s">
        <v>12</v>
      </c>
      <c r="F39" s="5" t="str">
        <f>HYPERLINK("https://sitechecker.pro/app/main/project/4562209/audit/issues?filters=312", "https://sitechecker.pro/app/main/project/4562209/audit/issues?filters=312")</f>
        <v>https://sitechecker.pro/app/main/project/4562209/audit/issues?filters=312</v>
      </c>
    </row>
    <row r="40">
      <c r="A40" s="2" t="s">
        <v>63</v>
      </c>
      <c r="B40" s="2" t="s">
        <v>55</v>
      </c>
      <c r="C40" s="2" t="s">
        <v>11</v>
      </c>
      <c r="D40" s="3">
        <v>4.0</v>
      </c>
      <c r="E40" s="3" t="s">
        <v>12</v>
      </c>
      <c r="F40" s="5" t="str">
        <f>HYPERLINK("https://sitechecker.pro/app/main/project/4562209/audit/issues?filters=268", "https://sitechecker.pro/app/main/project/4562209/audit/issues?filters=268")</f>
        <v>https://sitechecker.pro/app/main/project/4562209/audit/issues?filters=268</v>
      </c>
    </row>
  </sheetData>
  <autoFilter ref="$A$1:$F$40"/>
  <conditionalFormatting sqref="B2:B40">
    <cfRule type="containsText" dxfId="0" priority="1" stopIfTrue="1" operator="containsText" text="Critical">
      <formula>NOT(ISERROR(SEARCH(("Critical"),(B2))))</formula>
    </cfRule>
  </conditionalFormatting>
  <conditionalFormatting sqref="B2:B40">
    <cfRule type="containsText" dxfId="1" priority="2" stopIfTrue="1" operator="containsText" text="Warning">
      <formula>NOT(ISERROR(SEARCH(("Warning"),(B2))))</formula>
    </cfRule>
  </conditionalFormatting>
  <conditionalFormatting sqref="B2:B40">
    <cfRule type="containsText" dxfId="2" priority="3" stopIfTrue="1" operator="containsText" text="Opportunity">
      <formula>NOT(ISERROR(SEARCH(("Opportunity"),(B2))))</formula>
    </cfRule>
  </conditionalFormatting>
  <conditionalFormatting sqref="B2:B40">
    <cfRule type="containsText" dxfId="3" priority="4" stopIfTrue="1" operator="containsText" text="Notice">
      <formula>NOT(ISERROR(SEARCH(("Notice"),(B2))))</formula>
    </cfRule>
  </conditionalFormatting>
  <drawing r:id="rId1"/>
</worksheet>
</file>